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aluefy\DataLoadProcess\NEWETLMacros\"/>
    </mc:Choice>
  </mc:AlternateContent>
  <xr:revisionPtr revIDLastSave="0" documentId="13_ncr:1_{0D612990-7C56-427B-8BA6-BA6CAB432B0A}" xr6:coauthVersionLast="47" xr6:coauthVersionMax="47" xr10:uidLastSave="{00000000-0000-0000-0000-000000000000}"/>
  <bookViews>
    <workbookView xWindow="-120" yWindow="-120" windowWidth="20730" windowHeight="11160" xr2:uid="{3D763955-78E7-4901-8EDE-8E4E26176806}"/>
  </bookViews>
  <sheets>
    <sheet name="Main" sheetId="1" r:id="rId1"/>
    <sheet name="Send_Mail" sheetId="7" r:id="rId2"/>
    <sheet name="VersionLog" sheetId="4" r:id="rId3"/>
    <sheet name="Alerts" sheetId="5" r:id="rId4"/>
    <sheet name="Sheet1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2" i="1"/>
  <c r="C2" i="5"/>
  <c r="C3" i="5"/>
  <c r="C4" i="5"/>
  <c r="C5" i="5"/>
  <c r="B8" i="1"/>
  <c r="B13" i="1"/>
</calcChain>
</file>

<file path=xl/sharedStrings.xml><?xml version="1.0" encoding="utf-8"?>
<sst xmlns="http://schemas.openxmlformats.org/spreadsheetml/2006/main" count="68" uniqueCount="63">
  <si>
    <t>Database</t>
  </si>
  <si>
    <t>UserId</t>
  </si>
  <si>
    <t>Password</t>
  </si>
  <si>
    <t>LogPath</t>
  </si>
  <si>
    <t>DOMMAC</t>
  </si>
  <si>
    <t>ETLMAP</t>
  </si>
  <si>
    <t>Base Folder Path</t>
  </si>
  <si>
    <t>Date</t>
  </si>
  <si>
    <t>Version</t>
  </si>
  <si>
    <t>Comments</t>
  </si>
  <si>
    <t>1.0</t>
  </si>
  <si>
    <t>Original first version</t>
  </si>
  <si>
    <t>Daily Portfolio Holdings Template</t>
  </si>
  <si>
    <t>Portfolio Holdings Output</t>
  </si>
  <si>
    <t>D:\Valuefy\DataLoadProcess\DailyData\DataCreated\Holdings\</t>
  </si>
  <si>
    <t>Alert Name</t>
  </si>
  <si>
    <t>Thresold %</t>
  </si>
  <si>
    <t>Value</t>
  </si>
  <si>
    <t>AUM Movement Alert</t>
  </si>
  <si>
    <t>Stock Price Movement Alert</t>
  </si>
  <si>
    <t>Cash Movement Alert</t>
  </si>
  <si>
    <t>Stock Timing alert</t>
  </si>
  <si>
    <t xml:space="preserve">Emailing Timing changed Error: </t>
  </si>
  <si>
    <t>Send Type</t>
  </si>
  <si>
    <t>ToReceiver</t>
  </si>
  <si>
    <t>CcReceiver</t>
  </si>
  <si>
    <t>BccReceiver</t>
  </si>
  <si>
    <t>Error_msg</t>
  </si>
  <si>
    <t>Holding_file</t>
  </si>
  <si>
    <t>Live_PDF</t>
  </si>
  <si>
    <t>Success_mail</t>
  </si>
  <si>
    <t>support@valuefy.com</t>
  </si>
  <si>
    <t>valueat@valuefy.com</t>
  </si>
  <si>
    <t>VALUEATRMF</t>
  </si>
  <si>
    <t>D:\Valuefy\DataLoadProcess\NEWETLMacros</t>
  </si>
  <si>
    <t>Emailing Daily Holdings file. File: Holdings_01-Feb-19.xls</t>
  </si>
  <si>
    <t>Emailing Headers set.</t>
  </si>
  <si>
    <t>Emailed Holdings file.</t>
  </si>
  <si>
    <t>Going to check timing effect in portfolios</t>
  </si>
  <si>
    <t>Going to check transaction mismatch</t>
  </si>
  <si>
    <t xml:space="preserve">select fun.fund_name, sm.security_name, et.from_date,et.to_date, et.quantity_from, et.quantity_to, et.quantity_tran from funds fun, security_master sm, err_tran et where et.fund_id= fun.fund_id and et.security_code= sm.security_code </t>
  </si>
  <si>
    <t>No transaction mismatch found</t>
  </si>
  <si>
    <t>Going to check New FNO</t>
  </si>
  <si>
    <t>select security_type,source_security_code,security_name from temp_new_fno_alert</t>
  </si>
  <si>
    <t>New Future And Options -</t>
  </si>
  <si>
    <t>ValueAT - New Future Option in Equity System Emailing Headers set.</t>
  </si>
  <si>
    <t>ValueAT - New Future Option in Equity System Email sent</t>
  </si>
  <si>
    <t>ValueAT - Reliance Equity Daily UNDERLIER Return Alert Upgrade Emailing Headers set.</t>
  </si>
  <si>
    <t>ValueAT - RELIANCE EQUITY Benchmark Daily Return Alert::25-Feb-19, run on 26-Feb-19 Emailing Headers set.</t>
  </si>
  <si>
    <t>No securities in fund having timings greater than 3%</t>
  </si>
  <si>
    <t>No securities in fund having Dialy Return greater than 5%</t>
  </si>
  <si>
    <t>&lt;table style='border: 1px solid black; border-collapse:collapse;'&gt;&lt;tr style='border: 1px solid black; border-collapse:collapse;'&gt;&lt;th style='border: 1px solid black; border-collapse:collapse;'&gt;SECURITY_TYPE&lt;/th&gt;&lt;th style='border: 1px solid black; border-collapse:collapse;'&gt;FNO_CODE&lt;/th&gt;&lt;th style='border: 1px solid black; border-collapse:collapse;'&gt;SECURITY_NAME&lt;/th&gt;&lt;/tr&gt;&lt;tr style='border: 1px solid black; border-collapse:collapse;'&gt;&lt;td style='border: 1px solid black; border-collapse:collapse;'&gt;FUTURE EQ&lt;/td&gt;&lt;td style='border: 1px solid black; border-collapse:collapse;'&gt;SAELMAR19&lt;/td&gt;&lt;td style='border: 1px solid black; border-collapse:collapse;'&gt;TVSMOTOR_28/03/2019&lt;/td&gt;&lt;/tr&gt;&lt;tr style='border: 1px solid black; border-collapse:collapse;'&gt;&lt;td style='border: 1px solid black; border-collapse:collapse;'&gt;FUTURE EQ&lt;/td&gt;&lt;td style='border: 1px solid black; border-collapse:collapse;'&gt;IIBLAPR19&lt;/td&gt;&lt;td style='border: 1px solid black; border-collapse:collapse;'&gt;INDUSINDBK_25/04/2019&lt;/td&gt;&lt;/tr&gt;&lt;/table&gt;</t>
  </si>
  <si>
    <t>select fun.fund_name,sm.security_name,round(sad.portfolio_return,4) * 100 AS PORTFOLIO_RET,round(sad.benchmark_return,4) * 100 AS BENCHMARK_RET  from security_attribution_data sad, report_references rr, security_master sm, funds fun where sad.report_id IN (select report_id from report_references where report_references.to_date ='05-Mar-19' and daily_default_report_flag=0) and sad.report_id= rr.report_id and sad.security_code= sm.security_code and rr.fund_id= fun.fund_id and fun.offshore_flag=0 and abs(sad.timing)&gt;0.001 and sad.timing &lt;&gt;0 order by abs(sad.timing) desc</t>
  </si>
  <si>
    <t xml:space="preserve"> SELECT EFFECTIVE_DATE,FUND_ID ,FUND_NAME,SECURITY_NAME, security_code, instrument_name,round(portfolio_return,4) * 100 AS PORTFOLIO_RET , round(benchmark_return,4) * 100 AS BENCHMARK_RETURN, round(underlier_return,4) * 100 AS underlier_return, curr_quantity, prev_quantity, curr_fscp, prev_fscp, curr_scp, prev_scp, consideration FROM SEND_DAILY_RETURN WHERE  EFFECTIVE_DATE ='05-Mar-19' ORDER BY ABS(portfolio_return) DESC </t>
  </si>
  <si>
    <t>ValueAT - RELIANCE EQUITY Benchmark Daily Return Alert::05-Mar-19, run on 06-Mar-19 Emailing Headers set.</t>
  </si>
  <si>
    <t>AlertsPath</t>
  </si>
  <si>
    <t>D:\Valuefy\DataLoadProcess\NEWETLMacros\Alerts_logs\</t>
  </si>
  <si>
    <t>rmfappdb1</t>
  </si>
  <si>
    <t>ashwani.kumar@nipponindiaim.com,omprakash.kuckian@nipponindiaim.com,sailesh.bhan@nipponindiaim.com,Samir.Rachh@nipponindiaim.com,sanjay.h.parekh@nipponindiaim.com,shrey.loonker@nipponindiaim.com  ,varun.goenka@nipponindiaim.com , abhilash.nambiar@nipponindiaim.com , anand.d.gupta@nipponindiaim.com ,krishan.daga@nipponindiaim.com,support@valuefy.com, Israr.ahmed@nipponindiaim.com, Santosh.sawant@nipponindiaim.com,vishalc@valuefy.com</t>
  </si>
  <si>
    <t>Vivek.takke@nipponindiaim.com</t>
  </si>
  <si>
    <t>santosh.sawant@nipponindiaim.com,akshay.sharma@nipponindiaim.com,lokesh.maru@nipponindiaim.com,advait.lath@nipponindiaim.com</t>
  </si>
  <si>
    <t>Apr#2024</t>
  </si>
  <si>
    <t>VALUEFY_PROD_DB_NEW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</si>
</sst>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0"/>
      <color indexed="8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5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 wrapText="1" indent="1"/>
    </xf>
    <xf numFmtId="0" fontId="5" fillId="0" borderId="0" xfId="0" applyFont="1"/>
    <xf numFmtId="15" fontId="5" fillId="0" borderId="2" xfId="0" applyNumberFormat="1" applyFont="1" applyBorder="1" applyAlignment="1">
      <alignment horizontal="center" vertical="center" wrapText="1"/>
    </xf>
    <xf numFmtId="0" fontId="5" fillId="0" borderId="2" xfId="0" quotePrefix="1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 indent="1"/>
    </xf>
    <xf numFmtId="0" fontId="6" fillId="0" borderId="0" xfId="0" applyFont="1"/>
    <xf numFmtId="15" fontId="6" fillId="0" borderId="0" xfId="0" applyNumberFormat="1" applyFont="1"/>
    <xf numFmtId="0" fontId="7" fillId="4" borderId="3" xfId="0" applyFont="1" applyFill="1" applyBorder="1" applyAlignment="1">
      <alignment horizontal="center"/>
    </xf>
    <xf numFmtId="0" fontId="6" fillId="0" borderId="3" xfId="0" applyFont="1" applyBorder="1"/>
    <xf numFmtId="9" fontId="6" fillId="0" borderId="3" xfId="0" applyNumberFormat="1" applyFont="1" applyBorder="1"/>
    <xf numFmtId="0" fontId="0" fillId="0" borderId="0" xfId="0" applyAlignment="1">
      <alignment wrapText="1"/>
    </xf>
    <xf numFmtId="0" fontId="4" fillId="0" borderId="0" xfId="0" applyFont="1"/>
    <xf numFmtId="0" fontId="6" fillId="0" borderId="1" xfId="0" applyFont="1" applyBorder="1" applyAlignment="1">
      <alignment horizontal="left" vertical="center" indent="1"/>
    </xf>
    <xf numFmtId="0" fontId="6" fillId="0" borderId="1" xfId="0" applyFont="1" applyBorder="1"/>
    <xf numFmtId="0" fontId="6" fillId="3" borderId="1" xfId="0" applyFont="1" applyFill="1" applyBorder="1"/>
    <xf numFmtId="0" fontId="2" fillId="5" borderId="1" xfId="0" applyFont="1" applyFill="1" applyBorder="1"/>
    <xf numFmtId="0" fontId="3" fillId="0" borderId="0" xfId="1" applyAlignment="1" applyProtection="1"/>
    <xf numFmtId="0" fontId="3" fillId="0" borderId="0" xfId="1" applyAlignment="1" applyProtection="1">
      <alignment wrapText="1"/>
    </xf>
    <xf numFmtId="0" fontId="3" fillId="0" borderId="0" xfId="1" applyNumberFormat="1" applyAlignment="1" applyProtection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antosh.sawant@nipponindiaim.com,akshay.sharma@nipponindiaim.com,lokesh.maru@nipponindiaim.com,advait.lath@nipponindiaim.com" TargetMode="External"/><Relationship Id="rId1" Type="http://schemas.openxmlformats.org/officeDocument/2006/relationships/hyperlink" Target="mailto:Vivek.takke@nipponindiaim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A491-953C-443A-AD62-A0367FA29B7E}">
  <sheetPr codeName="Sheet1"/>
  <dimension ref="A3:C18"/>
  <sheetViews>
    <sheetView tabSelected="1" workbookViewId="0">
      <selection activeCell="B4" sqref="B4"/>
    </sheetView>
  </sheetViews>
  <sheetFormatPr defaultRowHeight="12.75" x14ac:dyDescent="0.2"/>
  <cols>
    <col min="1" max="1" width="33.28515625" style="7" bestFit="1" customWidth="1"/>
    <col min="2" max="2" width="80.7109375" style="7" bestFit="1" customWidth="1"/>
    <col min="3" max="3" width="9.7109375" style="7" bestFit="1" customWidth="1"/>
    <col min="4" max="9" width="9.140625" style="7"/>
    <col min="10" max="10" width="9.85546875" style="7" bestFit="1" customWidth="1"/>
    <col min="11" max="16384" width="9.140625" style="7"/>
  </cols>
  <sheetData>
    <row r="3" spans="1:3" x14ac:dyDescent="0.2">
      <c r="A3" s="17" t="s">
        <v>0</v>
      </c>
      <c r="B3" s="14" t="s">
        <v>62</v>
      </c>
      <c r="C3" s="7" t="s">
        <v>57</v>
      </c>
    </row>
    <row r="4" spans="1:3" x14ac:dyDescent="0.2">
      <c r="A4" s="17" t="s">
        <v>1</v>
      </c>
      <c r="B4" s="14" t="s">
        <v>33</v>
      </c>
    </row>
    <row r="5" spans="1:3" x14ac:dyDescent="0.2">
      <c r="A5" s="17" t="s">
        <v>2</v>
      </c>
      <c r="B5" s="14" t="s">
        <v>61</v>
      </c>
    </row>
    <row r="6" spans="1:3" x14ac:dyDescent="0.2">
      <c r="A6" s="17"/>
      <c r="B6" s="15"/>
    </row>
    <row r="7" spans="1:3" x14ac:dyDescent="0.2">
      <c r="A7" s="17" t="s">
        <v>6</v>
      </c>
      <c r="B7" s="16" t="s">
        <v>34</v>
      </c>
    </row>
    <row r="8" spans="1:3" x14ac:dyDescent="0.2">
      <c r="A8" s="17" t="s">
        <v>3</v>
      </c>
      <c r="B8" s="15" t="str">
        <f>$B$7&amp;"\Driver_Logs\"</f>
        <v>D:\Valuefy\DataLoadProcess\NEWETLMacros\Driver_Logs\</v>
      </c>
    </row>
    <row r="9" spans="1:3" x14ac:dyDescent="0.2">
      <c r="A9" s="17" t="s">
        <v>55</v>
      </c>
      <c r="B9" s="15" t="s">
        <v>56</v>
      </c>
    </row>
    <row r="10" spans="1:3" x14ac:dyDescent="0.2">
      <c r="A10" s="17" t="s">
        <v>4</v>
      </c>
      <c r="B10" s="15" t="str">
        <f>$B$7&amp;"\"&amp;"ETLMACRO.xlsm"</f>
        <v>D:\Valuefy\DataLoadProcess\NEWETLMacros\ETLMACRO.xlsm</v>
      </c>
    </row>
    <row r="11" spans="1:3" x14ac:dyDescent="0.2">
      <c r="A11" s="17"/>
      <c r="B11" s="15"/>
    </row>
    <row r="12" spans="1:3" x14ac:dyDescent="0.2">
      <c r="A12" s="17" t="s">
        <v>5</v>
      </c>
      <c r="B12" s="15" t="str">
        <f>$B$7&amp;"\"&amp;"ETLMap.xls"</f>
        <v>D:\Valuefy\DataLoadProcess\NEWETLMacros\ETLMap.xls</v>
      </c>
    </row>
    <row r="13" spans="1:3" x14ac:dyDescent="0.2">
      <c r="A13" s="17" t="s">
        <v>12</v>
      </c>
      <c r="B13" s="15" t="str">
        <f>$B$7&amp;"\"&amp;"Holdings_Template.xls"</f>
        <v>D:\Valuefy\DataLoadProcess\NEWETLMacros\Holdings_Template.xls</v>
      </c>
    </row>
    <row r="14" spans="1:3" x14ac:dyDescent="0.2">
      <c r="A14" s="17" t="s">
        <v>13</v>
      </c>
      <c r="B14" s="15" t="s">
        <v>14</v>
      </c>
    </row>
    <row r="18" spans="3:3" x14ac:dyDescent="0.2">
      <c r="C18" s="8">
        <v>43601</v>
      </c>
    </row>
  </sheetData>
  <phoneticPr fontId="1" type="noConversion"/>
  <pageMargins left="0.7" right="0.7" top="0.75" bottom="0.75" header="0.3" footer="0.3"/>
  <headerFooter>
    <oddHeader>&amp;L&amp;"Calibri"&amp;10&amp;K0000FF Data Classification: Public&amp;1#_x000D_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4798-C97A-4D2B-B90F-56D6965BE436}">
  <sheetPr codeName="Sheet5"/>
  <dimension ref="A1:D5"/>
  <sheetViews>
    <sheetView workbookViewId="0">
      <selection activeCell="C6" sqref="C6"/>
    </sheetView>
  </sheetViews>
  <sheetFormatPr defaultRowHeight="15" x14ac:dyDescent="0.25"/>
  <cols>
    <col min="1" max="1" width="12.42578125" bestFit="1" customWidth="1"/>
    <col min="2" max="2" width="117.5703125" bestFit="1" customWidth="1"/>
    <col min="3" max="3" width="18.42578125" bestFit="1" customWidth="1"/>
    <col min="4" max="4" width="129.85546875" bestFit="1" customWidth="1"/>
  </cols>
  <sheetData>
    <row r="1" spans="1:4" x14ac:dyDescent="0.25">
      <c r="A1" s="13" t="s">
        <v>23</v>
      </c>
      <c r="B1" s="13" t="s">
        <v>24</v>
      </c>
      <c r="C1" s="13" t="s">
        <v>25</v>
      </c>
      <c r="D1" s="13" t="s">
        <v>26</v>
      </c>
    </row>
    <row r="2" spans="1:4" x14ac:dyDescent="0.25">
      <c r="A2" t="s">
        <v>27</v>
      </c>
      <c r="B2" t="s">
        <v>31</v>
      </c>
      <c r="C2" s="18" t="s">
        <v>32</v>
      </c>
    </row>
    <row r="3" spans="1:4" x14ac:dyDescent="0.25">
      <c r="A3" t="s">
        <v>28</v>
      </c>
      <c r="B3" s="18" t="s">
        <v>60</v>
      </c>
      <c r="C3" s="18" t="s">
        <v>32</v>
      </c>
    </row>
    <row r="4" spans="1:4" ht="60" x14ac:dyDescent="0.25">
      <c r="A4" t="s">
        <v>30</v>
      </c>
      <c r="B4" s="19" t="s">
        <v>59</v>
      </c>
      <c r="C4" s="18" t="s">
        <v>32</v>
      </c>
      <c r="D4" s="20" t="s">
        <v>58</v>
      </c>
    </row>
    <row r="5" spans="1:4" x14ac:dyDescent="0.25">
      <c r="A5" t="s">
        <v>29</v>
      </c>
    </row>
  </sheetData>
  <hyperlinks>
    <hyperlink ref="B4" r:id="rId1" xr:uid="{4931ABA8-173D-4EB5-A7C6-663F24CB0099}"/>
    <hyperlink ref="B3" r:id="rId2" xr:uid="{69C3D747-5740-43DE-9FF2-1CA41FE4A8C1}"/>
  </hyperlinks>
  <pageMargins left="0.7" right="0.7" top="0.75" bottom="0.75" header="0.3" footer="0.3"/>
  <pageSetup orientation="portrait" r:id="rId3"/>
  <headerFooter>
    <oddHeader>&amp;L&amp;"Calibri"&amp;10&amp;K0000FF Data Classification: Public&amp;1#_x000D_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B37D-0ED2-4AD7-AF5C-78197CD7AD3B}">
  <sheetPr codeName="Sheet4"/>
  <dimension ref="A1:C2"/>
  <sheetViews>
    <sheetView showGridLines="0" workbookViewId="0">
      <selection activeCell="A2" sqref="A2"/>
    </sheetView>
  </sheetViews>
  <sheetFormatPr defaultRowHeight="12" x14ac:dyDescent="0.2"/>
  <cols>
    <col min="1" max="1" width="11.42578125" style="3" customWidth="1"/>
    <col min="2" max="2" width="9.140625" style="3"/>
    <col min="3" max="3" width="30" style="3" customWidth="1"/>
    <col min="4" max="16384" width="9.140625" style="3"/>
  </cols>
  <sheetData>
    <row r="1" spans="1:3" x14ac:dyDescent="0.2">
      <c r="A1" s="1" t="s">
        <v>7</v>
      </c>
      <c r="B1" s="1" t="s">
        <v>8</v>
      </c>
      <c r="C1" s="2" t="s">
        <v>9</v>
      </c>
    </row>
    <row r="2" spans="1:3" x14ac:dyDescent="0.2">
      <c r="A2" s="4">
        <v>41481</v>
      </c>
      <c r="B2" s="5" t="s">
        <v>10</v>
      </c>
      <c r="C2" s="6" t="s">
        <v>11</v>
      </c>
    </row>
  </sheetData>
  <pageMargins left="0.7" right="0.7" top="0.75" bottom="0.75" header="0.3" footer="0.3"/>
  <headerFooter>
    <oddHeader>&amp;L&amp;"Calibri"&amp;10&amp;K0000FF Data Classification: Public&amp;1#_x000D_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E7C9-1260-4329-86B9-1CB20AE796A5}">
  <sheetPr codeName="Sheet2"/>
  <dimension ref="A1:G5"/>
  <sheetViews>
    <sheetView showGridLines="0" workbookViewId="0">
      <selection activeCell="G2" sqref="G2"/>
    </sheetView>
  </sheetViews>
  <sheetFormatPr defaultRowHeight="12.75" x14ac:dyDescent="0.2"/>
  <cols>
    <col min="1" max="1" width="26.140625" style="7" bestFit="1" customWidth="1"/>
    <col min="2" max="2" width="13.85546875" style="7" customWidth="1"/>
    <col min="3" max="3" width="12" style="7" customWidth="1"/>
    <col min="4" max="6" width="9.140625" style="7"/>
    <col min="7" max="7" width="9.5703125" style="7" bestFit="1" customWidth="1"/>
    <col min="8" max="16384" width="9.140625" style="7"/>
  </cols>
  <sheetData>
    <row r="1" spans="1:7" x14ac:dyDescent="0.2">
      <c r="A1" s="9" t="s">
        <v>15</v>
      </c>
      <c r="B1" s="9" t="s">
        <v>16</v>
      </c>
      <c r="C1" s="9" t="s">
        <v>17</v>
      </c>
      <c r="G1" s="8">
        <v>43601</v>
      </c>
    </row>
    <row r="2" spans="1:7" x14ac:dyDescent="0.2">
      <c r="A2" s="10" t="s">
        <v>18</v>
      </c>
      <c r="B2" s="11">
        <v>0.05</v>
      </c>
      <c r="C2" s="10">
        <f>VALUE(B2)</f>
        <v>0.05</v>
      </c>
    </row>
    <row r="3" spans="1:7" x14ac:dyDescent="0.2">
      <c r="A3" s="10" t="s">
        <v>19</v>
      </c>
      <c r="B3" s="11">
        <v>0.1</v>
      </c>
      <c r="C3" s="10">
        <f>VALUE(B3)</f>
        <v>0.1</v>
      </c>
    </row>
    <row r="4" spans="1:7" x14ac:dyDescent="0.2">
      <c r="A4" s="10" t="s">
        <v>20</v>
      </c>
      <c r="B4" s="11">
        <v>0.2</v>
      </c>
      <c r="C4" s="10">
        <f>VALUE(B4)</f>
        <v>0.2</v>
      </c>
    </row>
    <row r="5" spans="1:7" x14ac:dyDescent="0.2">
      <c r="A5" s="10" t="s">
        <v>21</v>
      </c>
      <c r="B5" s="11">
        <v>1E-3</v>
      </c>
      <c r="C5" s="10">
        <f>VALUE(B5)</f>
        <v>1E-3</v>
      </c>
    </row>
  </sheetData>
  <pageMargins left="0.7" right="0.7" top="0.75" bottom="0.75" header="0.3" footer="0.3"/>
  <pageSetup orientation="portrait" r:id="rId1"/>
  <headerFooter>
    <oddHeader>&amp;L&amp;"Calibri"&amp;10&amp;K0000FF Data Classification: Public&amp;1#_x000D_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2C483-7DC3-4893-9239-DD6F22CC4BEE}">
  <sheetPr codeName="Sheet3"/>
  <dimension ref="A2:A25"/>
  <sheetViews>
    <sheetView workbookViewId="0">
      <selection activeCell="A10" sqref="A10"/>
    </sheetView>
  </sheetViews>
  <sheetFormatPr defaultRowHeight="15" x14ac:dyDescent="0.25"/>
  <cols>
    <col min="1" max="1" width="255.7109375" style="12" bestFit="1" customWidth="1"/>
    <col min="2" max="16384" width="9.140625" style="12"/>
  </cols>
  <sheetData>
    <row r="2" spans="1:1" x14ac:dyDescent="0.25">
      <c r="A2" s="12" t="s">
        <v>35</v>
      </c>
    </row>
    <row r="3" spans="1:1" x14ac:dyDescent="0.25">
      <c r="A3" s="12" t="s">
        <v>36</v>
      </c>
    </row>
    <row r="4" spans="1:1" x14ac:dyDescent="0.25">
      <c r="A4" s="12" t="s">
        <v>37</v>
      </c>
    </row>
    <row r="5" spans="1:1" x14ac:dyDescent="0.25">
      <c r="A5" s="12" t="s">
        <v>38</v>
      </c>
    </row>
    <row r="6" spans="1:1" ht="45" x14ac:dyDescent="0.25">
      <c r="A6" s="12" t="s">
        <v>52</v>
      </c>
    </row>
    <row r="7" spans="1:1" x14ac:dyDescent="0.25">
      <c r="A7" s="12" t="s">
        <v>49</v>
      </c>
    </row>
    <row r="8" spans="1:1" x14ac:dyDescent="0.25">
      <c r="A8" s="12" t="s">
        <v>39</v>
      </c>
    </row>
    <row r="9" spans="1:1" x14ac:dyDescent="0.25">
      <c r="A9" s="12" t="s">
        <v>40</v>
      </c>
    </row>
    <row r="10" spans="1:1" x14ac:dyDescent="0.25">
      <c r="A10" s="12" t="s">
        <v>41</v>
      </c>
    </row>
    <row r="11" spans="1:1" x14ac:dyDescent="0.25">
      <c r="A11" s="12" t="s">
        <v>42</v>
      </c>
    </row>
    <row r="12" spans="1:1" x14ac:dyDescent="0.25">
      <c r="A12" s="12" t="s">
        <v>43</v>
      </c>
    </row>
    <row r="13" spans="1:1" x14ac:dyDescent="0.25">
      <c r="A13" s="12" t="s">
        <v>44</v>
      </c>
    </row>
    <row r="14" spans="1:1" ht="60" x14ac:dyDescent="0.25">
      <c r="A14" s="12" t="s">
        <v>51</v>
      </c>
    </row>
    <row r="15" spans="1:1" x14ac:dyDescent="0.25">
      <c r="A15" s="12" t="s">
        <v>22</v>
      </c>
    </row>
    <row r="16" spans="1:1" x14ac:dyDescent="0.25">
      <c r="A16" s="12" t="s">
        <v>45</v>
      </c>
    </row>
    <row r="17" spans="1:1" x14ac:dyDescent="0.25">
      <c r="A17" s="12" t="s">
        <v>46</v>
      </c>
    </row>
    <row r="18" spans="1:1" ht="30" x14ac:dyDescent="0.25">
      <c r="A18" s="12" t="s">
        <v>53</v>
      </c>
    </row>
    <row r="19" spans="1:1" x14ac:dyDescent="0.25">
      <c r="A19" s="12" t="s">
        <v>50</v>
      </c>
    </row>
    <row r="20" spans="1:1" x14ac:dyDescent="0.25">
      <c r="A20" s="12" t="s">
        <v>22</v>
      </c>
    </row>
    <row r="21" spans="1:1" x14ac:dyDescent="0.25">
      <c r="A21" s="12" t="s">
        <v>54</v>
      </c>
    </row>
    <row r="22" spans="1:1" x14ac:dyDescent="0.25">
      <c r="A22" s="12" t="s">
        <v>22</v>
      </c>
    </row>
    <row r="23" spans="1:1" x14ac:dyDescent="0.25">
      <c r="A23" s="12" t="s">
        <v>47</v>
      </c>
    </row>
    <row r="24" spans="1:1" x14ac:dyDescent="0.25">
      <c r="A24" s="12" t="s">
        <v>22</v>
      </c>
    </row>
    <row r="25" spans="1:1" x14ac:dyDescent="0.25">
      <c r="A25" s="12" t="s">
        <v>48</v>
      </c>
    </row>
  </sheetData>
  <pageMargins left="0.7" right="0.7" top="0.75" bottom="0.75" header="0.3" footer="0.3"/>
  <pageSetup orientation="portrait" r:id="rId1"/>
  <headerFooter>
    <oddHeader>&amp;L&amp;"Calibri"&amp;10&amp;K0000FF Data Classification: Public&amp;1#_x000D_</oddHeader>
  </headerFooter>
</worksheet>
</file>

<file path=docMetadata/LabelInfo.xml><?xml version="1.0" encoding="utf-8"?>
<clbl:labelList xmlns:clbl="http://schemas.microsoft.com/office/2020/mipLabelMetadata">
  <clbl:label id="{f73ad0e6-c549-4408-b515-808cc8a3714d}" enabled="1" method="Privileged" siteId="{d3ecd3c8-8226-40dc-970a-45da4868c039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Send_Mail</vt:lpstr>
      <vt:lpstr>VersionLog</vt:lpstr>
      <vt:lpstr>Alerts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Valuefy</dc:creator>
  <cp:lastModifiedBy>Anand Vanmore</cp:lastModifiedBy>
  <dcterms:created xsi:type="dcterms:W3CDTF">2008-09-17T04:33:00Z</dcterms:created>
  <dcterms:modified xsi:type="dcterms:W3CDTF">2025-04-29T12:38:12Z</dcterms:modified>
</cp:coreProperties>
</file>